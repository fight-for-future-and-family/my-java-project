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1510" windowHeight="10350" tabRatio="500" activeTab="1"/>
  </bookViews>
  <sheets>
    <sheet name="汇总表" sheetId="1" r:id="rId1"/>
    <sheet name="分析表" sheetId="2" r:id="rId2"/>
  </sheets>
  <calcPr calcId="124519" concurrentCalc="0"/>
</workbook>
</file>

<file path=xl/calcChain.xml><?xml version="1.0" encoding="utf-8"?>
<calcChain xmlns="http://schemas.openxmlformats.org/spreadsheetml/2006/main">
  <c r="H5" i="1"/>
  <c r="C2" i="2"/>
  <c r="B2"/>
  <c r="O2"/>
  <c r="N2"/>
  <c r="M2"/>
  <c r="L2"/>
  <c r="K2"/>
  <c r="E2"/>
  <c r="J5" i="1"/>
  <c r="I5"/>
  <c r="F5"/>
  <c r="D5"/>
</calcChain>
</file>

<file path=xl/sharedStrings.xml><?xml version="1.0" encoding="utf-8"?>
<sst xmlns="http://schemas.openxmlformats.org/spreadsheetml/2006/main" count="29" uniqueCount="29">
  <si>
    <t>市场部 广点通广告报表</t>
  </si>
  <si>
    <t>产品名称：</t>
  </si>
  <si>
    <t>《八荒》</t>
  </si>
  <si>
    <t>投放时间</t>
  </si>
  <si>
    <t>曝光量</t>
  </si>
  <si>
    <t>点击量</t>
  </si>
  <si>
    <t>点击率</t>
  </si>
  <si>
    <t>安装量</t>
  </si>
  <si>
    <t>转化率</t>
  </si>
  <si>
    <t>花费</t>
  </si>
  <si>
    <t>当日成本</t>
  </si>
  <si>
    <t>CPC</t>
  </si>
  <si>
    <t>CPA</t>
  </si>
  <si>
    <t>日期</t>
  </si>
  <si>
    <t>广告
安装量</t>
  </si>
  <si>
    <t>广告费（元）</t>
  </si>
  <si>
    <t>付费人数（当日）</t>
  </si>
  <si>
    <t>安装付费率</t>
  </si>
  <si>
    <t>当日广告用户引入收入（元）-未考虑分成</t>
  </si>
  <si>
    <t>1日广告用户引入收入（元）-未考虑分成</t>
  </si>
  <si>
    <t>3日广告用户引入收入（元）-未考虑分成</t>
  </si>
  <si>
    <t>7日广告用户引入收入（元）-未考虑分成</t>
  </si>
  <si>
    <t>30日广告用户引入收入（元）-未考虑分成</t>
  </si>
  <si>
    <t>当日广告ROI（未考虑分成）</t>
  </si>
  <si>
    <t>1日广告ROI（未考虑分成）</t>
  </si>
  <si>
    <t>3日广告ROI（未考虑分成）</t>
  </si>
  <si>
    <t>7日广告ROI（未考虑分成）</t>
  </si>
  <si>
    <t>30日广告ROI（未考虑分成）</t>
  </si>
  <si>
    <t xml:space="preserve"> </t>
  </si>
</sst>
</file>

<file path=xl/styles.xml><?xml version="1.0" encoding="utf-8"?>
<styleSheet xmlns="http://schemas.openxmlformats.org/spreadsheetml/2006/main">
  <numFmts count="7">
    <numFmt numFmtId="178" formatCode="#,##0_);[Red]\(#,##0\)"/>
    <numFmt numFmtId="179" formatCode="0_);[Red]\(0\)"/>
    <numFmt numFmtId="180" formatCode="\¥#,##0.00_);[Red]\(\¥#,##0.00\)"/>
    <numFmt numFmtId="181" formatCode="m&quot;月&quot;d&quot;日&quot;;@"/>
    <numFmt numFmtId="182" formatCode="0_ "/>
    <numFmt numFmtId="183" formatCode="[$-F800]dddd\,\ mmmm\ dd\,\ yyyy"/>
    <numFmt numFmtId="184" formatCode="\¥#,##0.00;&quot;￥-&quot;#,##0.00"/>
  </numFmts>
  <fonts count="12">
    <font>
      <sz val="12"/>
      <color indexed="8"/>
      <name val="宋体"/>
      <charset val="134"/>
    </font>
    <font>
      <sz val="9"/>
      <color indexed="8"/>
      <name val="微软雅黑"/>
      <charset val="134"/>
    </font>
    <font>
      <sz val="9"/>
      <name val="微软雅黑"/>
      <charset val="134"/>
    </font>
    <font>
      <sz val="9"/>
      <color indexed="42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indexed="9"/>
      <name val="微软雅黑"/>
      <charset val="134"/>
    </font>
    <font>
      <sz val="10"/>
      <color indexed="63"/>
      <name val="微软雅黑"/>
      <charset val="134"/>
    </font>
    <font>
      <sz val="10"/>
      <color indexed="8"/>
      <name val="微软雅黑"/>
      <charset val="134"/>
    </font>
    <font>
      <b/>
      <sz val="10"/>
      <color indexed="9"/>
      <name val="微软雅黑"/>
      <charset val="134"/>
    </font>
    <font>
      <sz val="12"/>
      <name val="Times New Roman"/>
      <family val="1"/>
    </font>
    <font>
      <sz val="9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Protection="0">
      <alignment vertical="center"/>
    </xf>
  </cellStyleXfs>
  <cellXfs count="35">
    <xf numFmtId="0" fontId="0" fillId="0" borderId="0" xfId="0" applyAlignment="1"/>
    <xf numFmtId="10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82" fontId="1" fillId="0" borderId="0" xfId="0" applyNumberFormat="1" applyFont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/>
    <xf numFmtId="183" fontId="4" fillId="5" borderId="1" xfId="1" applyNumberFormat="1" applyFont="1" applyFill="1" applyBorder="1" applyAlignment="1" applyProtection="1">
      <alignment horizontal="center" vertical="center"/>
    </xf>
    <xf numFmtId="183" fontId="6" fillId="3" borderId="1" xfId="1" applyNumberFormat="1" applyFont="1" applyFill="1" applyBorder="1" applyAlignment="1" applyProtection="1">
      <alignment horizontal="center"/>
    </xf>
    <xf numFmtId="184" fontId="6" fillId="3" borderId="1" xfId="1" applyNumberFormat="1" applyFont="1" applyFill="1" applyBorder="1" applyAlignment="1" applyProtection="1">
      <alignment horizontal="center"/>
    </xf>
    <xf numFmtId="14" fontId="5" fillId="7" borderId="1" xfId="1" applyNumberFormat="1" applyFont="1" applyFill="1" applyBorder="1" applyAlignment="1" applyProtection="1">
      <alignment horizontal="center"/>
    </xf>
    <xf numFmtId="3" fontId="7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10" fontId="5" fillId="0" borderId="1" xfId="1" applyNumberFormat="1" applyFont="1" applyFill="1" applyBorder="1" applyAlignment="1" applyProtection="1">
      <alignment horizontal="center"/>
    </xf>
    <xf numFmtId="180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Fill="1" applyBorder="1" applyAlignment="1">
      <alignment horizontal="center" vertical="center"/>
    </xf>
    <xf numFmtId="183" fontId="9" fillId="3" borderId="1" xfId="1" applyNumberFormat="1" applyFont="1" applyFill="1" applyBorder="1" applyAlignment="1" applyProtection="1">
      <alignment horizontal="center"/>
    </xf>
    <xf numFmtId="184" fontId="5" fillId="0" borderId="1" xfId="1" applyNumberFormat="1" applyFont="1" applyFill="1" applyBorder="1" applyAlignment="1" applyProtection="1">
      <alignment horizontal="center"/>
    </xf>
    <xf numFmtId="183" fontId="4" fillId="5" borderId="1" xfId="1" applyNumberFormat="1" applyFont="1" applyFill="1" applyBorder="1" applyAlignment="1" applyProtection="1">
      <alignment horizontal="center"/>
    </xf>
    <xf numFmtId="183" fontId="5" fillId="6" borderId="1" xfId="1" applyNumberFormat="1" applyFont="1" applyFill="1" applyBorder="1" applyAlignment="1" applyProtection="1">
      <alignment horizontal="center"/>
    </xf>
    <xf numFmtId="180" fontId="5" fillId="5" borderId="1" xfId="1" applyNumberFormat="1" applyFont="1" applyFill="1" applyBorder="1" applyAlignment="1" applyProtection="1">
      <alignment horizontal="center"/>
    </xf>
    <xf numFmtId="0" fontId="0" fillId="0" borderId="0" xfId="0" applyBorder="1" applyAlignment="1">
      <alignment horizontal="center" vertical="center"/>
    </xf>
  </cellXfs>
  <cellStyles count="2">
    <cellStyle name="常规" xfId="0" builtinId="0"/>
    <cellStyle name="常规_【三国风云 品牌广告日报表】081231" xfId="1"/>
  </cellStyles>
  <dxfs count="1">
    <dxf>
      <font>
        <color indexed="60"/>
      </font>
      <fill>
        <patternFill>
          <fgColor indexed="10"/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/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9" ySplit="4" topLeftCell="J5" activePane="bottomRight" state="frozenSplit"/>
      <selection pane="topRight"/>
      <selection pane="bottomLeft"/>
      <selection pane="bottomRight" activeCell="G24" sqref="G24"/>
    </sheetView>
  </sheetViews>
  <sheetFormatPr defaultColWidth="9" defaultRowHeight="14.25"/>
  <cols>
    <col min="1" max="1" width="11" customWidth="1"/>
    <col min="2" max="2" width="11.375" customWidth="1"/>
    <col min="7" max="8" width="12.5" customWidth="1"/>
    <col min="9" max="9" width="10.875" customWidth="1"/>
    <col min="10" max="10" width="9.875" customWidth="1"/>
  </cols>
  <sheetData>
    <row r="1" spans="1:10" ht="17.25">
      <c r="A1" s="31" t="s">
        <v>0</v>
      </c>
      <c r="B1" s="31"/>
      <c r="C1" s="31"/>
      <c r="D1" s="33"/>
      <c r="E1" s="33"/>
      <c r="F1" s="33"/>
      <c r="G1" s="33"/>
      <c r="H1" s="33"/>
      <c r="I1" s="33"/>
      <c r="J1" s="33"/>
    </row>
    <row r="2" spans="1:10" ht="17.25">
      <c r="A2" s="32"/>
      <c r="B2" s="32"/>
      <c r="C2" s="32"/>
      <c r="D2" s="33"/>
      <c r="E2" s="33"/>
      <c r="F2" s="33"/>
      <c r="G2" s="33"/>
      <c r="H2" s="33"/>
      <c r="I2" s="33"/>
      <c r="J2" s="33"/>
    </row>
    <row r="3" spans="1:10" ht="17.25">
      <c r="A3" s="19" t="s">
        <v>1</v>
      </c>
      <c r="B3" s="31" t="s">
        <v>2</v>
      </c>
      <c r="C3" s="31"/>
      <c r="D3" s="33"/>
      <c r="E3" s="33"/>
      <c r="F3" s="33"/>
      <c r="G3" s="33"/>
      <c r="H3" s="33"/>
      <c r="I3" s="33"/>
      <c r="J3" s="33"/>
    </row>
    <row r="4" spans="1:10" ht="17.25">
      <c r="A4" s="20" t="s">
        <v>3</v>
      </c>
      <c r="B4" s="20" t="s">
        <v>4</v>
      </c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1" t="s">
        <v>10</v>
      </c>
      <c r="I4" s="20" t="s">
        <v>11</v>
      </c>
      <c r="J4" s="29" t="s">
        <v>12</v>
      </c>
    </row>
    <row r="5" spans="1:10" ht="17.25">
      <c r="A5" s="22">
        <v>41989</v>
      </c>
      <c r="B5" s="23">
        <v>18262180</v>
      </c>
      <c r="C5" s="23">
        <v>14987</v>
      </c>
      <c r="D5" s="24">
        <f t="shared" ref="D5" si="0">C5/B5</f>
        <v>8.2065777470159641E-4</v>
      </c>
      <c r="E5" s="25">
        <v>9780</v>
      </c>
      <c r="F5" s="26">
        <f t="shared" ref="F5" si="1">E5/C5</f>
        <v>0.65256555681590711</v>
      </c>
      <c r="G5" s="27">
        <v>22318.3</v>
      </c>
      <c r="H5" s="28">
        <f t="shared" ref="H5" si="2">G5*0.935</f>
        <v>20867.610499999999</v>
      </c>
      <c r="I5" s="30">
        <f t="shared" ref="I5" si="3">H5/C5</f>
        <v>1.3923807633282177</v>
      </c>
      <c r="J5" s="30">
        <f t="shared" ref="J5" si="4">H5/E5</f>
        <v>2.1337025051124745</v>
      </c>
    </row>
  </sheetData>
  <mergeCells count="4">
    <mergeCell ref="A1:C1"/>
    <mergeCell ref="A2:C2"/>
    <mergeCell ref="B3:C3"/>
    <mergeCell ref="D1:J3"/>
  </mergeCells>
  <phoneticPr fontId="11" type="noConversion"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>
      <pane xSplit="18" ySplit="1" topLeftCell="U2" activePane="bottomRight" state="frozenSplit"/>
      <selection pane="topRight"/>
      <selection pane="bottomLeft"/>
      <selection pane="bottomRight" activeCell="F18" sqref="F18"/>
    </sheetView>
  </sheetViews>
  <sheetFormatPr defaultColWidth="9" defaultRowHeight="14.25"/>
  <cols>
    <col min="1" max="1" width="9.125" style="11" customWidth="1"/>
    <col min="2" max="2" width="13.375" style="15" customWidth="1"/>
    <col min="3" max="3" width="14.125" style="11" customWidth="1"/>
    <col min="4" max="4" width="9.375" style="16" customWidth="1"/>
    <col min="5" max="5" width="9.625" style="13" customWidth="1"/>
    <col min="6" max="6" width="12" style="11" customWidth="1"/>
    <col min="7" max="7" width="11.125" style="13" customWidth="1"/>
    <col min="8" max="9" width="11.375" style="14" customWidth="1"/>
    <col min="10" max="10" width="12.5" style="14" customWidth="1"/>
    <col min="11" max="11" width="9.625" style="13" customWidth="1"/>
    <col min="12" max="12" width="8.875" style="13" customWidth="1"/>
    <col min="13" max="13" width="9" style="13" customWidth="1"/>
    <col min="14" max="14" width="9.125" style="13" customWidth="1"/>
    <col min="15" max="16" width="9.5" style="13" customWidth="1"/>
    <col min="17" max="16384" width="9" style="18"/>
  </cols>
  <sheetData>
    <row r="1" spans="1:16" ht="42.75">
      <c r="A1" s="3" t="s">
        <v>13</v>
      </c>
      <c r="B1" s="4" t="s">
        <v>14</v>
      </c>
      <c r="C1" s="3" t="s">
        <v>15</v>
      </c>
      <c r="D1" s="5" t="s">
        <v>16</v>
      </c>
      <c r="E1" s="6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10" t="s">
        <v>23</v>
      </c>
      <c r="L1" s="10" t="s">
        <v>24</v>
      </c>
      <c r="M1" s="10" t="s">
        <v>25</v>
      </c>
      <c r="N1" s="10" t="s">
        <v>26</v>
      </c>
      <c r="O1" s="10" t="s">
        <v>27</v>
      </c>
      <c r="P1" s="34"/>
    </row>
    <row r="2" spans="1:16">
      <c r="A2" s="8">
        <v>41989</v>
      </c>
      <c r="B2" s="9">
        <f>汇总表!E5</f>
        <v>9780</v>
      </c>
      <c r="C2" s="2">
        <f>汇总表!H5</f>
        <v>20867.610499999999</v>
      </c>
      <c r="D2" s="9">
        <v>53</v>
      </c>
      <c r="E2" s="1">
        <f t="shared" ref="E2" si="0">D2/B2</f>
        <v>5.4192229038854808E-3</v>
      </c>
      <c r="F2" s="2">
        <v>3154</v>
      </c>
      <c r="G2" s="2">
        <v>6902</v>
      </c>
      <c r="H2" s="2">
        <v>10054</v>
      </c>
      <c r="I2" s="2">
        <v>13250</v>
      </c>
      <c r="J2" s="2">
        <v>19787.2</v>
      </c>
      <c r="K2" s="1">
        <f t="shared" ref="K2" si="1">F2/C2</f>
        <v>0.15114332328562488</v>
      </c>
      <c r="L2" s="1">
        <f t="shared" ref="L2" si="2">G2/C2</f>
        <v>0.33075181271952531</v>
      </c>
      <c r="M2" s="1">
        <f t="shared" ref="M2" si="3">H2/C2</f>
        <v>0.48179929369488667</v>
      </c>
      <c r="N2" s="1">
        <f t="shared" ref="N2" si="4">I2/C2</f>
        <v>0.63495530549604617</v>
      </c>
      <c r="O2" s="1">
        <f t="shared" ref="O2" si="5">J2/C2</f>
        <v>0.94822548082349922</v>
      </c>
    </row>
    <row r="3" spans="1:16">
      <c r="B3" s="12"/>
      <c r="D3" s="12"/>
      <c r="F3" s="11" t="s">
        <v>28</v>
      </c>
      <c r="P3" s="17"/>
    </row>
    <row r="4" spans="1:16">
      <c r="B4" s="12"/>
      <c r="D4" s="12"/>
      <c r="P4" s="17"/>
    </row>
    <row r="5" spans="1:16">
      <c r="B5" s="12"/>
      <c r="D5" s="12"/>
      <c r="P5" s="17"/>
    </row>
    <row r="6" spans="1:16">
      <c r="B6" s="12"/>
      <c r="D6" s="12"/>
      <c r="P6" s="17"/>
    </row>
    <row r="7" spans="1:16">
      <c r="B7" s="12"/>
      <c r="D7" s="12"/>
      <c r="P7" s="17"/>
    </row>
    <row r="8" spans="1:16">
      <c r="B8" s="12"/>
      <c r="D8" s="12"/>
      <c r="P8" s="17"/>
    </row>
    <row r="9" spans="1:16">
      <c r="B9" s="12"/>
      <c r="D9" s="12"/>
      <c r="P9" s="17"/>
    </row>
    <row r="10" spans="1:16">
      <c r="B10" s="12"/>
      <c r="D10" s="12"/>
      <c r="P10" s="17"/>
    </row>
    <row r="11" spans="1:16">
      <c r="B11" s="12"/>
      <c r="D11" s="12"/>
    </row>
    <row r="12" spans="1:16">
      <c r="B12" s="12"/>
      <c r="D12" s="12"/>
    </row>
    <row r="13" spans="1:16">
      <c r="B13" s="12"/>
      <c r="D13" s="12"/>
    </row>
    <row r="14" spans="1:16">
      <c r="B14" s="12"/>
      <c r="D14" s="12"/>
    </row>
    <row r="15" spans="1:16">
      <c r="B15" s="12"/>
      <c r="D15" s="12"/>
    </row>
  </sheetData>
  <phoneticPr fontId="11" type="noConversion"/>
  <conditionalFormatting sqref="M1:M2 K1:L1 N1:O1">
    <cfRule type="cellIs" dxfId="0" priority="1" stopIfTrue="1" operator="greaterThan">
      <formula>1</formula>
    </cfRule>
  </conditionalFormatting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分析表</vt:lpstr>
    </vt:vector>
  </TitlesOfParts>
  <Company>hoolai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yungan Shen</dc:creator>
  <cp:lastModifiedBy>liqing</cp:lastModifiedBy>
  <dcterms:created xsi:type="dcterms:W3CDTF">2014-06-18T01:52:00Z</dcterms:created>
  <dcterms:modified xsi:type="dcterms:W3CDTF">2015-04-02T11:05:24Z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2052-9.1.0.4984</vt:lpwstr>
  </property>
</Properties>
</file>